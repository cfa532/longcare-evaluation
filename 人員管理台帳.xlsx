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員工花名冊" sheetId="1" state="visible" r:id="rId3"/>
    <sheet name="健康檢查記錄" sheetId="2" state="visible" r:id="rId4"/>
    <sheet name="疫苗接種記錄" sheetId="3" state="visible" r:id="rId5"/>
    <sheet name="職前訓練記錄" sheetId="4" state="visible" r:id="rId6"/>
    <sheet name="在職教育訓練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<sst xmlns="http://schemas.openxmlformats.org/spreadsheetml/2006/main" count="101" uniqueCount="82">
  <si>
    <t xml:space="preserve">專安誠健康事業有限公司附設高雄市私立專安誠居家長照機構</t>
  </si>
  <si>
    <r>
      <rPr>
        <b val="true"/>
        <sz val="9"/>
        <color rgb="FFFFFFFF"/>
        <rFont val="Noto Sans CJK SC"/>
        <family val="2"/>
      </rPr>
      <t xml:space="preserve">高雄市三民區灣子里大昌一路</t>
    </r>
    <r>
      <rPr>
        <b val="true"/>
        <sz val="9"/>
        <color rgb="FFFFFFFF"/>
        <rFont val="Arial"/>
        <family val="0"/>
        <charset val="1"/>
      </rPr>
      <t xml:space="preserve">263</t>
    </r>
    <r>
      <rPr>
        <b val="true"/>
        <sz val="9"/>
        <color rgb="FFFFFFFF"/>
        <rFont val="Noto Sans CJK SC"/>
        <family val="2"/>
      </rPr>
      <t xml:space="preserve">號</t>
    </r>
    <r>
      <rPr>
        <b val="true"/>
        <sz val="9"/>
        <color rgb="FFFFFFFF"/>
        <rFont val="Arial"/>
        <family val="0"/>
        <charset val="1"/>
      </rPr>
      <t xml:space="preserve">1</t>
    </r>
    <r>
      <rPr>
        <b val="true"/>
        <sz val="9"/>
        <color rgb="FFFFFFFF"/>
        <rFont val="Noto Sans CJK SC"/>
        <family val="2"/>
      </rPr>
      <t xml:space="preserve">樓　電話：</t>
    </r>
    <r>
      <rPr>
        <b val="true"/>
        <sz val="9"/>
        <color rgb="FFFFFFFF"/>
        <rFont val="Arial"/>
        <family val="0"/>
        <charset val="1"/>
      </rPr>
      <t xml:space="preserve">07-3927751</t>
    </r>
  </si>
  <si>
    <r>
      <rPr>
        <b val="true"/>
        <sz val="12"/>
        <color rgb="FF1F4E79"/>
        <rFont val="Noto Sans CJK SC"/>
        <family val="2"/>
      </rPr>
      <t xml:space="preserve">員工基本資料花名冊　　對應評鑑指標：</t>
    </r>
    <r>
      <rPr>
        <b val="true"/>
        <sz val="12"/>
        <color rgb="FF1F4E79"/>
        <rFont val="Arial"/>
        <family val="0"/>
        <charset val="1"/>
      </rPr>
      <t xml:space="preserve">A5</t>
    </r>
    <r>
      <rPr>
        <b val="true"/>
        <sz val="12"/>
        <color rgb="FF1F4E79"/>
        <rFont val="Noto Sans CJK SC"/>
        <family val="2"/>
      </rPr>
      <t xml:space="preserve">（權益）、</t>
    </r>
    <r>
      <rPr>
        <b val="true"/>
        <sz val="12"/>
        <color rgb="FF1F4E79"/>
        <rFont val="Arial"/>
        <family val="0"/>
        <charset val="1"/>
      </rPr>
      <t xml:space="preserve">A6</t>
    </r>
    <r>
      <rPr>
        <b val="true"/>
        <sz val="12"/>
        <color rgb="FF1F4E79"/>
        <rFont val="Noto Sans CJK SC"/>
        <family val="2"/>
      </rPr>
      <t xml:space="preserve">（人力設置）</t>
    </r>
  </si>
  <si>
    <t xml:space="preserve">序號</t>
  </si>
  <si>
    <t xml:space="preserve">員工姓名</t>
  </si>
  <si>
    <r>
      <rPr>
        <b val="true"/>
        <sz val="9"/>
        <color rgb="FFFFFFFF"/>
        <rFont val="Noto Sans CJK SC"/>
        <family val="2"/>
      </rPr>
      <t xml:space="preserve">職稱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督導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照服員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社工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</si>
  <si>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身分證字號</t>
  </si>
  <si>
    <t xml:space="preserve">到職日期</t>
  </si>
  <si>
    <r>
      <rPr>
        <b val="true"/>
        <sz val="9"/>
        <color rgb="FFFFFFFF"/>
        <rFont val="Noto Sans CJK SC"/>
        <family val="2"/>
      </rPr>
      <t xml:space="preserve">離職日期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在職留空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</si>
  <si>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執業登錄號
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報備文號</t>
    </r>
  </si>
  <si>
    <t xml:space="preserve">勞保
投保</t>
  </si>
  <si>
    <t xml:space="preserve">健保
投保</t>
  </si>
  <si>
    <t xml:space="preserve">勞退
提繳</t>
  </si>
  <si>
    <t xml:space="preserve">意外險
投保</t>
  </si>
  <si>
    <t xml:space="preserve">照顧
責任險</t>
  </si>
  <si>
    <r>
      <rPr>
        <b val="true"/>
        <sz val="9"/>
        <color rgb="FFFFFFFF"/>
        <rFont val="Noto Sans CJK SC"/>
        <family val="2"/>
      </rPr>
      <t xml:space="preserve">專任</t>
    </r>
    <r>
      <rPr>
        <b val="true"/>
        <sz val="9"/>
        <color rgb="FFFFFFFF"/>
        <rFont val="Arial"/>
        <family val="0"/>
        <charset val="1"/>
      </rPr>
      <t xml:space="preserve">/
</t>
    </r>
    <r>
      <rPr>
        <b val="true"/>
        <sz val="9"/>
        <color rgb="FFFFFFFF"/>
        <rFont val="Noto Sans CJK SC"/>
        <family val="2"/>
      </rPr>
      <t xml:space="preserve">兼任</t>
    </r>
  </si>
  <si>
    <t xml:space="preserve">每週
工時</t>
  </si>
  <si>
    <t xml:space="preserve">聯絡電話</t>
  </si>
  <si>
    <t xml:space="preserve">備註</t>
  </si>
  <si>
    <t xml:space="preserve">在職督導人數：</t>
  </si>
  <si>
    <t xml:space="preserve">在案個案總數（手動填入）：</t>
  </si>
  <si>
    <t xml:space="preserve">督導比例（每位督導服務人數）：</t>
  </si>
  <si>
    <r>
      <rPr>
        <b val="true"/>
        <sz val="10"/>
        <color rgb="FF000000"/>
        <rFont val="Noto Sans CJK SC"/>
        <family val="2"/>
      </rPr>
      <t xml:space="preserve">是否符合</t>
    </r>
    <r>
      <rPr>
        <b val="true"/>
        <sz val="10"/>
        <color rgb="FF000000"/>
        <rFont val="Arial"/>
        <family val="0"/>
        <charset val="1"/>
      </rPr>
      <t xml:space="preserve">A6</t>
    </r>
    <r>
      <rPr>
        <b val="true"/>
        <sz val="10"/>
        <color rgb="FF000000"/>
        <rFont val="Noto Sans CJK SC"/>
        <family val="2"/>
      </rPr>
      <t xml:space="preserve">（≦</t>
    </r>
    <r>
      <rPr>
        <b val="true"/>
        <sz val="10"/>
        <color rgb="FF000000"/>
        <rFont val="Arial"/>
        <family val="0"/>
        <charset val="1"/>
      </rPr>
      <t xml:space="preserve">60</t>
    </r>
    <r>
      <rPr>
        <b val="true"/>
        <sz val="10"/>
        <color rgb="FF000000"/>
        <rFont val="Noto Sans CJK SC"/>
        <family val="2"/>
      </rPr>
      <t xml:space="preserve">人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</rPr>
      <t xml:space="preserve">督導）：</t>
    </r>
  </si>
  <si>
    <r>
      <rPr>
        <b val="true"/>
        <sz val="12"/>
        <color rgb="FF1F4E79"/>
        <rFont val="Noto Sans CJK SC"/>
        <family val="2"/>
      </rPr>
      <t xml:space="preserve">員工健康檢查記錄表　　　對應評鑑指標：</t>
    </r>
    <r>
      <rPr>
        <b val="true"/>
        <sz val="12"/>
        <color rgb="FF1F4E79"/>
        <rFont val="Arial"/>
        <family val="0"/>
        <charset val="1"/>
      </rPr>
      <t xml:space="preserve">A7</t>
    </r>
    <r>
      <rPr>
        <b val="true"/>
        <sz val="12"/>
        <color rgb="FF1F4E79"/>
        <rFont val="Noto Sans CJK SC"/>
        <family val="2"/>
      </rPr>
      <t xml:space="preserve">（健康檢查）</t>
    </r>
  </si>
  <si>
    <t xml:space="preserve">職稱</t>
  </si>
  <si>
    <r>
      <rPr>
        <b val="true"/>
        <sz val="9"/>
        <color rgb="FFFFFFFF"/>
        <rFont val="Noto Sans CJK SC"/>
        <family val="2"/>
      </rPr>
      <t xml:space="preserve">新進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在職</t>
    </r>
  </si>
  <si>
    <t xml:space="preserve">檢查日期</t>
  </si>
  <si>
    <t xml:space="preserve">檢查單位</t>
  </si>
  <si>
    <r>
      <rPr>
        <b val="true"/>
        <sz val="9"/>
        <color rgb="FFFFFFFF"/>
        <rFont val="Noto Sans CJK SC"/>
        <family val="2"/>
      </rPr>
      <t xml:space="preserve">胸部</t>
    </r>
    <r>
      <rPr>
        <b val="true"/>
        <sz val="9"/>
        <color rgb="FFFFFFFF"/>
        <rFont val="Arial"/>
        <family val="0"/>
        <charset val="1"/>
      </rPr>
      <t xml:space="preserve">X</t>
    </r>
    <r>
      <rPr>
        <b val="true"/>
        <sz val="9"/>
        <color rgb="FFFFFFFF"/>
        <rFont val="Noto Sans CJK SC"/>
        <family val="2"/>
      </rPr>
      <t xml:space="preserve">光</t>
    </r>
  </si>
  <si>
    <r>
      <rPr>
        <b val="true"/>
        <sz val="9"/>
        <color rgb="FFFFFFFF"/>
        <rFont val="Noto Sans CJK SC"/>
        <family val="2"/>
      </rPr>
      <t xml:space="preserve">糞便檢查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新進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</si>
  <si>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血液常規
及生化</t>
  </si>
  <si>
    <t xml:space="preserve">尿液
檢查</t>
  </si>
  <si>
    <r>
      <rPr>
        <b val="true"/>
        <sz val="9"/>
        <color rgb="FFFFFFFF"/>
        <rFont val="Arial"/>
        <family val="0"/>
        <charset val="1"/>
      </rPr>
      <t xml:space="preserve">B</t>
    </r>
    <r>
      <rPr>
        <b val="true"/>
        <sz val="9"/>
        <color rgb="FFFFFFFF"/>
        <rFont val="Noto Sans CJK SC"/>
        <family val="2"/>
      </rPr>
      <t xml:space="preserve">肝抗原
抗體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新進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</si>
  <si>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醫師判讀
核章</t>
  </si>
  <si>
    <t xml:space="preserve">追蹤事項</t>
  </si>
  <si>
    <t xml:space="preserve">複查日期</t>
  </si>
  <si>
    <t xml:space="preserve">結案日期</t>
  </si>
  <si>
    <r>
      <rPr>
        <sz val="9"/>
        <color rgb="FF7F7F7F"/>
        <rFont val="Noto Sans CJK SC"/>
        <family val="2"/>
      </rPr>
      <t xml:space="preserve">說明：新進人員健檢應於到職前完成（</t>
    </r>
    <r>
      <rPr>
        <sz val="9"/>
        <color rgb="FF7F7F7F"/>
        <rFont val="Arial"/>
        <family val="0"/>
        <charset val="1"/>
      </rPr>
      <t xml:space="preserve">A7-2</t>
    </r>
    <r>
      <rPr>
        <sz val="9"/>
        <color rgb="FF7F7F7F"/>
        <rFont val="Noto Sans CJK SC"/>
        <family val="2"/>
      </rPr>
      <t xml:space="preserve">）；在職人員每年一次（</t>
    </r>
    <r>
      <rPr>
        <sz val="9"/>
        <color rgb="FF7F7F7F"/>
        <rFont val="Arial"/>
        <family val="0"/>
        <charset val="1"/>
      </rPr>
      <t xml:space="preserve">A7-2</t>
    </r>
    <r>
      <rPr>
        <sz val="9"/>
        <color rgb="FF7F7F7F"/>
        <rFont val="Noto Sans CJK SC"/>
        <family val="2"/>
      </rPr>
      <t xml:space="preserve">）；醫師判讀核章欄須有醫師簽章（</t>
    </r>
    <r>
      <rPr>
        <sz val="9"/>
        <color rgb="FF7F7F7F"/>
        <rFont val="Arial"/>
        <family val="0"/>
        <charset val="1"/>
      </rPr>
      <t xml:space="preserve">A7</t>
    </r>
    <r>
      <rPr>
        <sz val="9"/>
        <color rgb="FF7F7F7F"/>
        <rFont val="Noto Sans CJK SC"/>
        <family val="2"/>
      </rPr>
      <t xml:space="preserve">評核方式）。</t>
    </r>
  </si>
  <si>
    <r>
      <rPr>
        <b val="true"/>
        <sz val="12"/>
        <color rgb="FF1F4E79"/>
        <rFont val="Noto Sans CJK SC"/>
        <family val="2"/>
      </rPr>
      <t xml:space="preserve">員工疫苗接種記錄冊　　　對應評鑑指標：</t>
    </r>
    <r>
      <rPr>
        <b val="true"/>
        <sz val="12"/>
        <color rgb="FF1F4E79"/>
        <rFont val="Arial"/>
        <family val="0"/>
        <charset val="1"/>
      </rPr>
      <t xml:space="preserve">A7</t>
    </r>
    <r>
      <rPr>
        <b val="true"/>
        <sz val="12"/>
        <color rgb="FF1F4E79"/>
        <rFont val="Noto Sans CJK SC"/>
        <family val="2"/>
      </rPr>
      <t xml:space="preserve">（疫苗）</t>
    </r>
  </si>
  <si>
    <t xml:space="preserve">流感疫苗
接種日期</t>
  </si>
  <si>
    <r>
      <rPr>
        <b val="true"/>
        <sz val="9"/>
        <color rgb="FFFFFFFF"/>
        <rFont val="Arial"/>
        <family val="0"/>
        <charset val="1"/>
      </rPr>
      <t xml:space="preserve">COVID-19
</t>
    </r>
    <r>
      <rPr>
        <b val="true"/>
        <sz val="9"/>
        <color rgb="FFFFFFFF"/>
        <rFont val="Noto Sans CJK SC"/>
        <family val="2"/>
      </rPr>
      <t xml:space="preserve">疫苗</t>
    </r>
  </si>
  <si>
    <r>
      <rPr>
        <b val="true"/>
        <sz val="9"/>
        <color rgb="FFFFFFFF"/>
        <rFont val="Arial"/>
        <family val="0"/>
        <charset val="1"/>
      </rPr>
      <t xml:space="preserve">B</t>
    </r>
    <r>
      <rPr>
        <b val="true"/>
        <sz val="9"/>
        <color rgb="FFFFFFFF"/>
        <rFont val="Noto Sans CJK SC"/>
        <family val="2"/>
      </rPr>
      <t xml:space="preserve">型肝炎
疫苗</t>
    </r>
  </si>
  <si>
    <t xml:space="preserve">其他
疫苗</t>
  </si>
  <si>
    <r>
      <rPr>
        <b val="true"/>
        <sz val="9"/>
        <color rgb="FFFFFFFF"/>
        <rFont val="Noto Sans CJK SC"/>
        <family val="2"/>
      </rPr>
      <t xml:space="preserve">未接種
原因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詳填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</si>
  <si>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NIAS</t>
    </r>
    <r>
      <rPr>
        <b val="true"/>
        <sz val="9"/>
        <color rgb="FFFFFFFF"/>
        <rFont val="Noto Sans CJK SC"/>
        <family val="2"/>
      </rPr>
      <t xml:space="preserve">系統
登錄□</t>
    </r>
  </si>
  <si>
    <r>
      <rPr>
        <sz val="9"/>
        <color rgb="FF7F7F7F"/>
        <rFont val="Noto Sans CJK SC"/>
        <family val="2"/>
      </rPr>
      <t xml:space="preserve">說明：機構應列冊管理疫苗接種，未施打者須載明原因（</t>
    </r>
    <r>
      <rPr>
        <sz val="9"/>
        <color rgb="FF7F7F7F"/>
        <rFont val="Arial"/>
        <family val="0"/>
        <charset val="1"/>
      </rPr>
      <t xml:space="preserve">A7-4</t>
    </r>
    <r>
      <rPr>
        <sz val="9"/>
        <color rgb="FF7F7F7F"/>
        <rFont val="Noto Sans CJK SC"/>
        <family val="2"/>
      </rPr>
      <t xml:space="preserve">）。加分項目：使用</t>
    </r>
    <r>
      <rPr>
        <sz val="9"/>
        <color rgb="FF7F7F7F"/>
        <rFont val="Arial"/>
        <family val="0"/>
        <charset val="1"/>
      </rPr>
      <t xml:space="preserve">NIAS</t>
    </r>
    <r>
      <rPr>
        <sz val="9"/>
        <color rgb="FF7F7F7F"/>
        <rFont val="Noto Sans CJK SC"/>
        <family val="2"/>
      </rPr>
      <t xml:space="preserve">系統辦理疫苗接種作業（加分</t>
    </r>
    <r>
      <rPr>
        <sz val="9"/>
        <color rgb="FF7F7F7F"/>
        <rFont val="Arial"/>
        <family val="0"/>
        <charset val="1"/>
      </rPr>
      <t xml:space="preserve">1</t>
    </r>
    <r>
      <rPr>
        <sz val="9"/>
        <color rgb="FF7F7F7F"/>
        <rFont val="Noto Sans CJK SC"/>
        <family val="2"/>
      </rPr>
      <t xml:space="preserve">）。</t>
    </r>
  </si>
  <si>
    <r>
      <rPr>
        <b val="true"/>
        <sz val="12"/>
        <color rgb="FF1F4E79"/>
        <rFont val="Noto Sans CJK SC"/>
        <family val="2"/>
      </rPr>
      <t xml:space="preserve">新進人員職前訓練記錄表　　對應評鑑指標：</t>
    </r>
    <r>
      <rPr>
        <b val="true"/>
        <sz val="12"/>
        <color rgb="FF1F4E79"/>
        <rFont val="Arial"/>
        <family val="0"/>
        <charset val="1"/>
      </rPr>
      <t xml:space="preserve">A8</t>
    </r>
    <r>
      <rPr>
        <b val="true"/>
        <sz val="12"/>
        <color rgb="FF1F4E79"/>
        <rFont val="Noto Sans CJK SC"/>
        <family val="2"/>
      </rPr>
      <t xml:space="preserve">（職前訓練）</t>
    </r>
  </si>
  <si>
    <r>
      <rPr>
        <sz val="9"/>
        <color rgb="FF1F4E79"/>
        <rFont val="Noto Sans CJK SC"/>
        <family val="2"/>
      </rPr>
      <t xml:space="preserve">訓練要求：新進工作人員於到職後</t>
    </r>
    <r>
      <rPr>
        <sz val="9"/>
        <color rgb="FF1F4E79"/>
        <rFont val="Arial"/>
        <family val="0"/>
        <charset val="1"/>
      </rPr>
      <t xml:space="preserve">1</t>
    </r>
    <r>
      <rPr>
        <sz val="9"/>
        <color rgb="FF1F4E79"/>
        <rFont val="Noto Sans CJK SC"/>
        <family val="2"/>
      </rPr>
      <t xml:space="preserve">個月內完成，至少</t>
    </r>
    <r>
      <rPr>
        <sz val="9"/>
        <color rgb="FF1F4E79"/>
        <rFont val="Arial"/>
        <family val="0"/>
        <charset val="1"/>
      </rPr>
      <t xml:space="preserve">16</t>
    </r>
    <r>
      <rPr>
        <sz val="9"/>
        <color rgb="FF1F4E79"/>
        <rFont val="Noto Sans CJK SC"/>
        <family val="2"/>
      </rPr>
      <t xml:space="preserve">小時（</t>
    </r>
    <r>
      <rPr>
        <sz val="9"/>
        <color rgb="FF1F4E79"/>
        <rFont val="Arial"/>
        <family val="0"/>
        <charset val="1"/>
      </rPr>
      <t xml:space="preserve">A8-1</t>
    </r>
    <r>
      <rPr>
        <sz val="9"/>
        <color rgb="FF1F4E79"/>
        <rFont val="Noto Sans CJK SC"/>
        <family val="2"/>
      </rPr>
      <t xml:space="preserve">）</t>
    </r>
  </si>
  <si>
    <r>
      <rPr>
        <sz val="9"/>
        <color rgb="FF7F7F7F"/>
        <rFont val="Noto Sans CJK SC"/>
        <family val="2"/>
      </rPr>
      <t xml:space="preserve">必辦項目：□整體環境介紹 □工作手冊說明 □職業安全衛生</t>
    </r>
    <r>
      <rPr>
        <sz val="9"/>
        <color rgb="FF7F7F7F"/>
        <rFont val="Arial"/>
        <family val="0"/>
        <charset val="1"/>
      </rPr>
      <t xml:space="preserve">(≥3h) □</t>
    </r>
    <r>
      <rPr>
        <sz val="9"/>
        <color rgb="FF7F7F7F"/>
        <rFont val="Noto Sans CJK SC"/>
        <family val="2"/>
      </rPr>
      <t xml:space="preserve">感染控制</t>
    </r>
    <r>
      <rPr>
        <sz val="9"/>
        <color rgb="FF7F7F7F"/>
        <rFont val="Arial"/>
        <family val="0"/>
        <charset val="1"/>
      </rPr>
      <t xml:space="preserve">(≥4h) □</t>
    </r>
    <r>
      <rPr>
        <sz val="9"/>
        <color rgb="FF7F7F7F"/>
        <rFont val="Noto Sans CJK SC"/>
        <family val="2"/>
      </rPr>
      <t xml:space="preserve">緊急意外事件預防與處理 □服務項目實地操作</t>
    </r>
  </si>
  <si>
    <t xml:space="preserve">員工
姓名</t>
  </si>
  <si>
    <t xml:space="preserve">到職
日期</t>
  </si>
  <si>
    <t xml:space="preserve">訓練
截止日</t>
  </si>
  <si>
    <t xml:space="preserve">完成
日期</t>
  </si>
  <si>
    <r>
      <rPr>
        <b val="true"/>
        <sz val="9"/>
        <color rgb="FFFFFFFF"/>
        <rFont val="Noto Sans CJK SC"/>
        <family val="2"/>
      </rPr>
      <t xml:space="preserve">整體
環境</t>
    </r>
    <r>
      <rPr>
        <b val="true"/>
        <sz val="9"/>
        <color rgb="FFFFFFFF"/>
        <rFont val="Arial"/>
        <family val="0"/>
        <charset val="1"/>
      </rPr>
      <t xml:space="preserve">(h)</t>
    </r>
  </si>
  <si>
    <r>
      <rPr>
        <b val="true"/>
        <sz val="9"/>
        <color rgb="FFFFFFFF"/>
        <rFont val="Noto Sans CJK SC"/>
        <family val="2"/>
      </rPr>
      <t xml:space="preserve">工作
手冊</t>
    </r>
    <r>
      <rPr>
        <b val="true"/>
        <sz val="9"/>
        <color rgb="FFFFFFFF"/>
        <rFont val="Arial"/>
        <family val="0"/>
        <charset val="1"/>
      </rPr>
      <t xml:space="preserve">(h)</t>
    </r>
  </si>
  <si>
    <r>
      <rPr>
        <b val="true"/>
        <sz val="9"/>
        <color rgb="FFFFFFFF"/>
        <rFont val="Noto Sans CJK SC"/>
        <family val="2"/>
      </rPr>
      <t xml:space="preserve">職業
安全衛生</t>
    </r>
    <r>
      <rPr>
        <b val="true"/>
        <sz val="9"/>
        <color rgb="FFFFFFFF"/>
        <rFont val="Arial"/>
        <family val="0"/>
        <charset val="1"/>
      </rPr>
      <t xml:space="preserve">(h)</t>
    </r>
  </si>
  <si>
    <r>
      <rPr>
        <b val="true"/>
        <sz val="9"/>
        <color rgb="FFFFFFFF"/>
        <rFont val="Noto Sans CJK SC"/>
        <family val="2"/>
      </rPr>
      <t xml:space="preserve">感染
控制</t>
    </r>
    <r>
      <rPr>
        <b val="true"/>
        <sz val="9"/>
        <color rgb="FFFFFFFF"/>
        <rFont val="Arial"/>
        <family val="0"/>
        <charset val="1"/>
      </rPr>
      <t xml:space="preserve">(h)</t>
    </r>
  </si>
  <si>
    <r>
      <rPr>
        <b val="true"/>
        <sz val="9"/>
        <color rgb="FFFFFFFF"/>
        <rFont val="Noto Sans CJK SC"/>
        <family val="2"/>
      </rPr>
      <t xml:space="preserve">緊急
事件</t>
    </r>
    <r>
      <rPr>
        <b val="true"/>
        <sz val="9"/>
        <color rgb="FFFFFFFF"/>
        <rFont val="Arial"/>
        <family val="0"/>
        <charset val="1"/>
      </rPr>
      <t xml:space="preserve">(h)</t>
    </r>
  </si>
  <si>
    <r>
      <rPr>
        <b val="true"/>
        <sz val="9"/>
        <color rgb="FFFFFFFF"/>
        <rFont val="Noto Sans CJK SC"/>
        <family val="2"/>
      </rPr>
      <t xml:space="preserve">服務
操作</t>
    </r>
    <r>
      <rPr>
        <b val="true"/>
        <sz val="9"/>
        <color rgb="FFFFFFFF"/>
        <rFont val="Arial"/>
        <family val="0"/>
        <charset val="1"/>
      </rPr>
      <t xml:space="preserve">(h)</t>
    </r>
  </si>
  <si>
    <r>
      <rPr>
        <b val="true"/>
        <sz val="9"/>
        <color rgb="FFFFFFFF"/>
        <rFont val="Noto Sans CJK SC"/>
        <family val="2"/>
      </rPr>
      <t xml:space="preserve">總時數
</t>
    </r>
    <r>
      <rPr>
        <b val="true"/>
        <sz val="9"/>
        <color rgb="FFFFFFFF"/>
        <rFont val="Arial"/>
        <family val="0"/>
        <charset val="1"/>
      </rPr>
      <t xml:space="preserve">(≥16h)</t>
    </r>
  </si>
  <si>
    <t xml:space="preserve">適任性
考核□</t>
  </si>
  <si>
    <t xml:space="preserve">受訓
意見□</t>
  </si>
  <si>
    <t xml:space="preserve">合格
□</t>
  </si>
  <si>
    <r>
      <rPr>
        <b val="true"/>
        <sz val="12"/>
        <color rgb="FF1F4E79"/>
        <rFont val="Noto Sans CJK SC"/>
        <family val="2"/>
      </rPr>
      <t xml:space="preserve">長照人員在職教育訓練記錄表　　　對應評鑑指標：</t>
    </r>
    <r>
      <rPr>
        <b val="true"/>
        <sz val="12"/>
        <color rgb="FF1F4E79"/>
        <rFont val="Arial"/>
        <family val="0"/>
        <charset val="1"/>
      </rPr>
      <t xml:space="preserve">B1</t>
    </r>
    <r>
      <rPr>
        <b val="true"/>
        <sz val="12"/>
        <color rgb="FF1F4E79"/>
        <rFont val="Noto Sans CJK SC"/>
        <family val="2"/>
      </rPr>
      <t xml:space="preserve">（專業知能）</t>
    </r>
  </si>
  <si>
    <r>
      <rPr>
        <sz val="9"/>
        <color rgb="FFC00000"/>
        <rFont val="Noto Sans CJK SC"/>
        <family val="2"/>
      </rPr>
      <t xml:space="preserve">每人每年至少</t>
    </r>
    <r>
      <rPr>
        <sz val="9"/>
        <color rgb="FFC00000"/>
        <rFont val="Arial"/>
        <family val="0"/>
        <charset val="1"/>
      </rPr>
      <t xml:space="preserve">20</t>
    </r>
    <r>
      <rPr>
        <sz val="9"/>
        <color rgb="FFC00000"/>
        <rFont val="Noto Sans CJK SC"/>
        <family val="2"/>
      </rPr>
      <t xml:space="preserve">長照積分（</t>
    </r>
    <r>
      <rPr>
        <sz val="9"/>
        <color rgb="FFC00000"/>
        <rFont val="Arial"/>
        <family val="0"/>
        <charset val="1"/>
      </rPr>
      <t xml:space="preserve">B1-1</t>
    </r>
    <r>
      <rPr>
        <sz val="9"/>
        <color rgb="FFC00000"/>
        <rFont val="Noto Sans CJK SC"/>
        <family val="2"/>
      </rPr>
      <t xml:space="preserve">）：感染管制≥</t>
    </r>
    <r>
      <rPr>
        <sz val="9"/>
        <color rgb="FFC00000"/>
        <rFont val="Arial"/>
        <family val="0"/>
        <charset val="1"/>
      </rPr>
      <t xml:space="preserve">4</t>
    </r>
    <r>
      <rPr>
        <sz val="9"/>
        <color rgb="FFC00000"/>
        <rFont val="Noto Sans CJK SC"/>
        <family val="2"/>
      </rPr>
      <t xml:space="preserve">積分、原住民族文化≥</t>
    </r>
    <r>
      <rPr>
        <sz val="9"/>
        <color rgb="FFC00000"/>
        <rFont val="Arial"/>
        <family val="0"/>
        <charset val="1"/>
      </rPr>
      <t xml:space="preserve">1</t>
    </r>
    <r>
      <rPr>
        <sz val="9"/>
        <color rgb="FFC00000"/>
        <rFont val="Noto Sans CJK SC"/>
        <family val="2"/>
      </rPr>
      <t xml:space="preserve">積分、多元族群文化≥</t>
    </r>
    <r>
      <rPr>
        <sz val="9"/>
        <color rgb="FFC00000"/>
        <rFont val="Arial"/>
        <family val="0"/>
        <charset val="1"/>
      </rPr>
      <t xml:space="preserve">1</t>
    </r>
    <r>
      <rPr>
        <sz val="9"/>
        <color rgb="FFC00000"/>
        <rFont val="Noto Sans CJK SC"/>
        <family val="2"/>
      </rPr>
      <t xml:space="preserve">積分</t>
    </r>
  </si>
  <si>
    <t xml:space="preserve">課程名稱</t>
  </si>
  <si>
    <r>
      <rPr>
        <b val="true"/>
        <sz val="9"/>
        <color rgb="FFFFFFFF"/>
        <rFont val="Noto Sans CJK SC"/>
        <family val="2"/>
      </rPr>
      <t xml:space="preserve">訓練類別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內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外部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</si>
  <si>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辦理單位</t>
  </si>
  <si>
    <t xml:space="preserve">訓練日期</t>
  </si>
  <si>
    <t xml:space="preserve">時數</t>
  </si>
  <si>
    <t xml:space="preserve">長照
積分</t>
  </si>
  <si>
    <t xml:space="preserve">感控
積分</t>
  </si>
  <si>
    <t xml:space="preserve">原民文
化積分</t>
  </si>
  <si>
    <t xml:space="preserve">多元文
化積分</t>
  </si>
  <si>
    <t xml:space="preserve">證明
文件□</t>
  </si>
  <si>
    <t xml:space="preserve">【個人年度積分統計（請輸入員工姓名查詢）】</t>
  </si>
  <si>
    <t xml:space="preserve">查詢員工姓名</t>
  </si>
  <si>
    <t xml:space="preserve">年度長照積分合計</t>
  </si>
  <si>
    <t xml:space="preserve">感控積分合計</t>
  </si>
  <si>
    <t xml:space="preserve">原民文化積分</t>
  </si>
  <si>
    <t xml:space="preserve">多元文化積分</t>
  </si>
  <si>
    <r>
      <rPr>
        <b val="true"/>
        <sz val="10"/>
        <color rgb="FF000000"/>
        <rFont val="Noto Sans CJK SC"/>
        <family val="2"/>
      </rPr>
      <t xml:space="preserve">是否達標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總≥</t>
    </r>
    <r>
      <rPr>
        <b val="true"/>
        <sz val="10"/>
        <color rgb="FF000000"/>
        <rFont val="Arial"/>
        <family val="0"/>
        <charset val="1"/>
      </rPr>
      <t xml:space="preserve">20)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</si>
</sst>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Noto Sans CJK SC"/>
      <family val="2"/>
    </font>
    <font>
      <b val="true"/>
      <sz val="9"/>
      <color rgb="FFFFFFFF"/>
      <name val="Noto Sans CJK SC"/>
      <family val="2"/>
    </font>
    <font>
      <b val="true"/>
      <sz val="9"/>
      <color rgb="FFFFFFFF"/>
      <name val="Arial"/>
      <family val="0"/>
      <charset val="1"/>
    </font>
    <font>
      <b val="true"/>
      <sz val="12"/>
      <color rgb="FF1F4E79"/>
      <name val="Noto Sans CJK SC"/>
      <family val="2"/>
    </font>
    <font>
      <b val="true"/>
      <sz val="12"/>
      <color rgb="FF1F4E79"/>
      <name val="Arial"/>
      <family val="0"/>
      <charset val="1"/>
    </font>
    <font>
      <b val="true"/>
      <sz val="10"/>
      <color rgb="FF000000"/>
      <name val="Noto Sans CJK SC"/>
      <family val="2"/>
    </font>
    <font>
      <b val="true"/>
      <sz val="10"/>
      <color rgb="FF1F4E7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7F7F7F"/>
      <name val="Noto Sans CJK SC"/>
      <family val="2"/>
    </font>
    <font>
      <sz val="9"/>
      <color rgb="FF7F7F7F"/>
      <name val="Arial"/>
      <family val="0"/>
      <charset val="1"/>
    </font>
    <font>
      <sz val="9"/>
      <color rgb="FF1F4E79"/>
      <name val="Noto Sans CJK SC"/>
      <family val="2"/>
    </font>
    <font>
      <sz val="9"/>
      <color rgb="FF1F4E79"/>
      <name val="Arial"/>
      <family val="0"/>
      <charset val="1"/>
    </font>
    <font>
      <sz val="9"/>
      <color rgb="FFC00000"/>
      <name val="Noto Sans CJK SC"/>
      <family val="2"/>
    </font>
    <font>
      <sz val="9"/>
      <color rgb="FFC00000"/>
      <name val="Arial"/>
      <family val="0"/>
      <charset val="1"/>
    </font>
    <font>
      <b val="true"/>
      <sz val="10"/>
      <color rgb="FF1F4E79"/>
      <name val="Noto Sans CJK SC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EBF3FB"/>
      </patternFill>
    </fill>
    <fill>
      <patternFill patternType="solid">
        <fgColor rgb="FFFFFFFF"/>
        <bgColor rgb="FFF2F2F2"/>
      </patternFill>
    </fill>
    <fill>
      <patternFill patternType="solid">
        <fgColor rgb="FFEBF3FB"/>
        <bgColor rgb="FFF2F2F2"/>
      </patternFill>
    </fill>
    <fill>
      <patternFill patternType="solid">
        <fgColor rgb="FFF2F2F2"/>
        <bgColor rgb="FFEBF3FB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99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 diagonalUp="false" diagonalDown="false">
      <left style="thin">
        <color rgb="FF4472C4"/>
      </left>
      <right/>
      <top style="thin">
        <color rgb="FF4472C4"/>
      </top>
      <bottom style="thin">
        <color rgb="FF4472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7030A0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F2F2F2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33C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P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6"/>
    <col collapsed="false" customWidth="true" hidden="false" outlineLevel="0" max="14" min="8" style="0" width="8"/>
    <col collapsed="false" customWidth="true" hidden="false" outlineLevel="0" max="15" min="15" style="0" width="14"/>
    <col collapsed="false" customWidth="true" hidden="false" outlineLevel="0" max="16" min="16" style="0" width="1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4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21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36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</row>
    <row r="5" customFormat="false" ht="21.75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customFormat="false" ht="21.75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customFormat="false" ht="21.75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customFormat="false" ht="21.75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customFormat="false" ht="21.7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customFormat="false" ht="21.75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customFormat="false" ht="21.7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customFormat="false" ht="21.75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customFormat="false" ht="21.7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customFormat="false" ht="21.75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customFormat="false" ht="21.7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customFormat="false" ht="21.75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customFormat="false" ht="21.7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customFormat="false" ht="21.75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customFormat="false" ht="21.7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customFormat="false" ht="21.7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customFormat="false" ht="21.7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customFormat="false" ht="21.7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customFormat="false" ht="21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customFormat="false" ht="21.7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customFormat="false" ht="21.7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customFormat="false" ht="21.7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customFormat="false" ht="21.7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customFormat="false" ht="21.7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customFormat="false" ht="21.7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customFormat="false" ht="21.7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customFormat="false" ht="21.7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customFormat="false" ht="21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customFormat="false" ht="21.7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customFormat="false" ht="21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customFormat="false" ht="21.7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7" customFormat="false" ht="21.75" hidden="false" customHeight="true" outlineLevel="0" collapsed="false">
      <c r="A37" s="7" t="s">
        <v>19</v>
      </c>
      <c r="B37" s="8" t="n">
        <f aca="false">COUNTIFS(C5:C35,"督導",F5:F35,"")</f>
        <v>0</v>
      </c>
    </row>
    <row r="38" customFormat="false" ht="21.75" hidden="false" customHeight="true" outlineLevel="0" collapsed="false">
      <c r="A38" s="7" t="s">
        <v>20</v>
      </c>
      <c r="B38" s="8" t="n">
        <v>0</v>
      </c>
    </row>
    <row r="39" customFormat="false" ht="21.75" hidden="false" customHeight="true" outlineLevel="0" collapsed="false">
      <c r="A39" s="7" t="s">
        <v>21</v>
      </c>
      <c r="B39" s="8" t="str">
        <f aca="false">IF(B37=0,"無督導",B38/B37)</f>
        <v>無督導</v>
      </c>
    </row>
    <row r="40" customFormat="false" ht="21.75" hidden="false" customHeight="true" outlineLevel="0" collapsed="false">
      <c r="A40" s="7" t="s">
        <v>22</v>
      </c>
      <c r="B40" s="8" t="str">
        <f aca="false">IF(B37=0,"不符合",IF(B38/B37&lt;=60,"✓ 符合","✗ 不符合（請增加督導）"))</f>
        <v>不符合</v>
      </c>
    </row>
  </sheetData>
  <mergeCells count="3">
    <mergeCell ref="A1:P1"/>
    <mergeCell ref="A2:P2"/>
    <mergeCell ref="A3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P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8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20"/>
    <col collapsed="false" customWidth="true" hidden="false" outlineLevel="0" max="16" min="14" style="0" width="1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1.75" hidden="false" customHeight="true" outlineLevel="0" collapsed="false">
      <c r="A3" s="3" t="s">
        <v>23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39.75" hidden="false" customHeight="true" outlineLevel="0" collapsed="false">
      <c r="A4" s="4" t="s">
        <v>3</v>
      </c>
      <c r="B4" s="4" t="s">
        <v>4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28</v>
      </c>
      <c r="H4" s="4" t="s">
        <v>29</v>
      </c>
      <c r="I4" s="4" t="s">
        <v>30</v>
      </c>
      <c r="J4" s="4" t="s">
        <v>31</v>
      </c>
      <c r="K4" s="9" t="s">
        <v>32</v>
      </c>
      <c r="L4" s="4" t="s">
        <v>33</v>
      </c>
      <c r="M4" s="4" t="s">
        <v>34</v>
      </c>
      <c r="N4" s="4" t="s">
        <v>35</v>
      </c>
      <c r="O4" s="4" t="s">
        <v>36</v>
      </c>
      <c r="P4" s="4" t="s">
        <v>18</v>
      </c>
    </row>
    <row r="5" customFormat="false" ht="21.75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customFormat="false" ht="21.75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customFormat="false" ht="21.75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customFormat="false" ht="21.75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customFormat="false" ht="21.7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customFormat="false" ht="21.75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customFormat="false" ht="21.7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customFormat="false" ht="21.75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customFormat="false" ht="21.7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customFormat="false" ht="21.75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customFormat="false" ht="21.7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customFormat="false" ht="21.75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customFormat="false" ht="21.7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customFormat="false" ht="21.75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customFormat="false" ht="21.7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customFormat="false" ht="21.7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customFormat="false" ht="21.7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customFormat="false" ht="21.7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customFormat="false" ht="21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customFormat="false" ht="21.7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customFormat="false" ht="21.7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customFormat="false" ht="21.7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customFormat="false" ht="21.7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customFormat="false" ht="21.7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customFormat="false" ht="21.7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customFormat="false" ht="21.7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customFormat="false" ht="21.7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customFormat="false" ht="21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customFormat="false" ht="21.7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customFormat="false" ht="21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customFormat="false" ht="21.7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customFormat="false" ht="21.7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customFormat="false" ht="21.7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customFormat="false" ht="21.7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customFormat="false" ht="21.7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customFormat="false" ht="21.7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customFormat="false" ht="15" hidden="false" customHeight="true" outlineLevel="0" collapsed="false">
      <c r="A41" s="10" t="s">
        <v>37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</row>
  </sheetData>
  <mergeCells count="4">
    <mergeCell ref="A1:L1"/>
    <mergeCell ref="A2:L2"/>
    <mergeCell ref="A3:L3"/>
    <mergeCell ref="A41:P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7" min="5" style="0" width="12"/>
    <col collapsed="false" customWidth="true" hidden="false" outlineLevel="0" max="8" min="8" style="0" width="24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4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1.75" hidden="false" customHeight="true" outlineLevel="0" collapsed="false">
      <c r="A3" s="3" t="s">
        <v>38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39.75" hidden="false" customHeight="true" outlineLevel="0" collapsed="false">
      <c r="A4" s="4" t="s">
        <v>3</v>
      </c>
      <c r="B4" s="4" t="s">
        <v>4</v>
      </c>
      <c r="C4" s="4" t="s">
        <v>24</v>
      </c>
      <c r="D4" s="4" t="s">
        <v>39</v>
      </c>
      <c r="E4" s="9" t="s">
        <v>40</v>
      </c>
      <c r="F4" s="9" t="s">
        <v>41</v>
      </c>
      <c r="G4" s="4" t="s">
        <v>42</v>
      </c>
      <c r="H4" s="4" t="s">
        <v>43</v>
      </c>
      <c r="I4" s="9" t="s">
        <v>44</v>
      </c>
      <c r="J4" s="4" t="s">
        <v>18</v>
      </c>
    </row>
    <row r="5" customFormat="false" ht="21.75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</row>
    <row r="6" customFormat="false" ht="21.75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</row>
    <row r="7" customFormat="false" ht="21.75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</row>
    <row r="8" customFormat="false" ht="21.75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</row>
    <row r="9" customFormat="false" ht="21.7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</row>
    <row r="10" customFormat="false" ht="21.75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customFormat="false" ht="21.7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customFormat="false" ht="21.75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customFormat="false" ht="21.7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customFormat="false" ht="21.75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customFormat="false" ht="21.7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customFormat="false" ht="21.75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customFormat="false" ht="21.7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customFormat="false" ht="21.75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customFormat="false" ht="21.7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customFormat="false" ht="21.7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customFormat="false" ht="21.7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customFormat="false" ht="21.7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customFormat="false" ht="21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customFormat="false" ht="21.7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customFormat="false" ht="21.7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customFormat="false" ht="21.7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customFormat="false" ht="21.7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customFormat="false" ht="21.7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customFormat="false" ht="21.7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customFormat="false" ht="21.7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customFormat="false" ht="21.7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customFormat="false" ht="21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customFormat="false" ht="21.7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customFormat="false" ht="21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customFormat="false" ht="21.7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customFormat="false" ht="15" hidden="false" customHeight="true" outlineLevel="0" collapsed="false">
      <c r="A36" s="10" t="s">
        <v>45</v>
      </c>
      <c r="B36" s="10"/>
      <c r="C36" s="10"/>
      <c r="D36" s="10"/>
      <c r="E36" s="10"/>
      <c r="F36" s="10"/>
      <c r="G36" s="10"/>
      <c r="H36" s="10"/>
      <c r="I36" s="10"/>
      <c r="J36" s="10"/>
    </row>
  </sheetData>
  <mergeCells count="4">
    <mergeCell ref="A1:J1"/>
    <mergeCell ref="A2:J2"/>
    <mergeCell ref="A3:J3"/>
    <mergeCell ref="A36:J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false"/>
  </sheetPr>
  <dimension ref="A1:O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6" style="0" width="8"/>
    <col collapsed="false" customWidth="true" hidden="false" outlineLevel="0" max="8" min="8" style="0" width="12"/>
    <col collapsed="false" customWidth="true" hidden="false" outlineLevel="0" max="11" min="9" style="0" width="8"/>
    <col collapsed="false" customWidth="true" hidden="false" outlineLevel="0" max="13" min="12" style="0" width="10"/>
    <col collapsed="false" customWidth="true" hidden="false" outlineLevel="0" max="15" min="14" style="0" width="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1.75" hidden="false" customHeight="true" outlineLevel="0" collapsed="false">
      <c r="A3" s="3" t="s">
        <v>46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8" hidden="false" customHeight="true" outlineLevel="0" collapsed="false">
      <c r="A4" s="11" t="s">
        <v>47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customFormat="false" ht="18" hidden="false" customHeight="true" outlineLevel="0" collapsed="false">
      <c r="A5" s="12" t="s">
        <v>48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customFormat="false" ht="39.75" hidden="false" customHeight="true" outlineLevel="0" collapsed="false">
      <c r="A6" s="4" t="s">
        <v>49</v>
      </c>
      <c r="B6" s="4" t="s">
        <v>24</v>
      </c>
      <c r="C6" s="4" t="s">
        <v>50</v>
      </c>
      <c r="D6" s="4" t="s">
        <v>51</v>
      </c>
      <c r="E6" s="4" t="s">
        <v>52</v>
      </c>
      <c r="F6" s="4" t="s">
        <v>53</v>
      </c>
      <c r="G6" s="4" t="s">
        <v>54</v>
      </c>
      <c r="H6" s="4" t="s">
        <v>55</v>
      </c>
      <c r="I6" s="4" t="s">
        <v>56</v>
      </c>
      <c r="J6" s="4" t="s">
        <v>57</v>
      </c>
      <c r="K6" s="4" t="s">
        <v>58</v>
      </c>
      <c r="L6" s="4" t="s">
        <v>59</v>
      </c>
      <c r="M6" s="4" t="s">
        <v>60</v>
      </c>
      <c r="N6" s="4" t="s">
        <v>61</v>
      </c>
      <c r="O6" s="4" t="s">
        <v>62</v>
      </c>
    </row>
    <row r="7" customFormat="false" ht="21.75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13" t="str">
        <f aca="false">IF(A7="","",SUM(F7:K7))</f>
        <v/>
      </c>
      <c r="M7" s="5"/>
      <c r="N7" s="5"/>
      <c r="O7" s="5"/>
    </row>
    <row r="8" customFormat="false" ht="21.75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13" t="str">
        <f aca="false">IF(A8="","",SUM(F8:K8))</f>
        <v/>
      </c>
      <c r="M8" s="6"/>
      <c r="N8" s="6"/>
      <c r="O8" s="6"/>
    </row>
    <row r="9" customFormat="false" ht="21.7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13" t="str">
        <f aca="false">IF(A9="","",SUM(F9:K9))</f>
        <v/>
      </c>
      <c r="M9" s="5"/>
      <c r="N9" s="5"/>
      <c r="O9" s="5"/>
    </row>
    <row r="10" customFormat="false" ht="21.75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13" t="str">
        <f aca="false">IF(A10="","",SUM(F10:K10))</f>
        <v/>
      </c>
      <c r="M10" s="6"/>
      <c r="N10" s="6"/>
      <c r="O10" s="6"/>
    </row>
    <row r="11" customFormat="false" ht="21.7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13" t="str">
        <f aca="false">IF(A11="","",SUM(F11:K11))</f>
        <v/>
      </c>
      <c r="M11" s="5"/>
      <c r="N11" s="5"/>
      <c r="O11" s="5"/>
    </row>
    <row r="12" customFormat="false" ht="21.75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13" t="str">
        <f aca="false">IF(A12="","",SUM(F12:K12))</f>
        <v/>
      </c>
      <c r="M12" s="6"/>
      <c r="N12" s="6"/>
      <c r="O12" s="6"/>
    </row>
    <row r="13" customFormat="false" ht="21.7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13" t="str">
        <f aca="false">IF(A13="","",SUM(F13:K13))</f>
        <v/>
      </c>
      <c r="M13" s="5"/>
      <c r="N13" s="5"/>
      <c r="O13" s="5"/>
    </row>
    <row r="14" customFormat="false" ht="21.75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13" t="str">
        <f aca="false">IF(A14="","",SUM(F14:K14))</f>
        <v/>
      </c>
      <c r="M14" s="6"/>
      <c r="N14" s="6"/>
      <c r="O14" s="6"/>
    </row>
    <row r="15" customFormat="false" ht="21.7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13" t="str">
        <f aca="false">IF(A15="","",SUM(F15:K15))</f>
        <v/>
      </c>
      <c r="M15" s="5"/>
      <c r="N15" s="5"/>
      <c r="O15" s="5"/>
    </row>
    <row r="16" customFormat="false" ht="21.75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13" t="str">
        <f aca="false">IF(A16="","",SUM(F16:K16))</f>
        <v/>
      </c>
      <c r="M16" s="6"/>
      <c r="N16" s="6"/>
      <c r="O16" s="6"/>
    </row>
    <row r="17" customFormat="false" ht="21.7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13" t="str">
        <f aca="false">IF(A17="","",SUM(F17:K17))</f>
        <v/>
      </c>
      <c r="M17" s="5"/>
      <c r="N17" s="5"/>
      <c r="O17" s="5"/>
    </row>
    <row r="18" customFormat="false" ht="21.75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13" t="str">
        <f aca="false">IF(A18="","",SUM(F18:K18))</f>
        <v/>
      </c>
      <c r="M18" s="6"/>
      <c r="N18" s="6"/>
      <c r="O18" s="6"/>
    </row>
    <row r="19" customFormat="false" ht="21.7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13" t="str">
        <f aca="false">IF(A19="","",SUM(F19:K19))</f>
        <v/>
      </c>
      <c r="M19" s="5"/>
      <c r="N19" s="5"/>
      <c r="O19" s="5"/>
    </row>
    <row r="20" customFormat="false" ht="21.7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13" t="str">
        <f aca="false">IF(A20="","",SUM(F20:K20))</f>
        <v/>
      </c>
      <c r="M20" s="6"/>
      <c r="N20" s="6"/>
      <c r="O20" s="6"/>
    </row>
    <row r="21" customFormat="false" ht="21.7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13" t="str">
        <f aca="false">IF(A21="","",SUM(F21:K21))</f>
        <v/>
      </c>
      <c r="M21" s="5"/>
      <c r="N21" s="5"/>
      <c r="O21" s="5"/>
    </row>
    <row r="22" customFormat="false" ht="21.7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13" t="str">
        <f aca="false">IF(A22="","",SUM(F22:K22))</f>
        <v/>
      </c>
      <c r="M22" s="6"/>
      <c r="N22" s="6"/>
      <c r="O22" s="6"/>
    </row>
    <row r="23" customFormat="false" ht="21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13" t="str">
        <f aca="false">IF(A23="","",SUM(F23:K23))</f>
        <v/>
      </c>
      <c r="M23" s="5"/>
      <c r="N23" s="5"/>
      <c r="O23" s="5"/>
    </row>
    <row r="24" customFormat="false" ht="21.7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13" t="str">
        <f aca="false">IF(A24="","",SUM(F24:K24))</f>
        <v/>
      </c>
      <c r="M24" s="6"/>
      <c r="N24" s="6"/>
      <c r="O24" s="6"/>
    </row>
    <row r="25" customFormat="false" ht="21.7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13" t="str">
        <f aca="false">IF(A25="","",SUM(F25:K25))</f>
        <v/>
      </c>
      <c r="M25" s="5"/>
      <c r="N25" s="5"/>
      <c r="O25" s="5"/>
    </row>
    <row r="26" customFormat="false" ht="21.7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13" t="str">
        <f aca="false">IF(A26="","",SUM(F26:K26))</f>
        <v/>
      </c>
      <c r="M26" s="6"/>
      <c r="N26" s="6"/>
      <c r="O26" s="6"/>
    </row>
    <row r="27" customFormat="false" ht="21.7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13" t="str">
        <f aca="false">IF(A27="","",SUM(F27:K27))</f>
        <v/>
      </c>
      <c r="M27" s="5"/>
      <c r="N27" s="5"/>
      <c r="O27" s="5"/>
    </row>
    <row r="28" customFormat="false" ht="21.7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13" t="str">
        <f aca="false">IF(A28="","",SUM(F28:K28))</f>
        <v/>
      </c>
      <c r="M28" s="6"/>
      <c r="N28" s="6"/>
      <c r="O28" s="6"/>
    </row>
    <row r="29" customFormat="false" ht="21.7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13" t="str">
        <f aca="false">IF(A29="","",SUM(F29:K29))</f>
        <v/>
      </c>
      <c r="M29" s="5"/>
      <c r="N29" s="5"/>
      <c r="O29" s="5"/>
    </row>
  </sheetData>
  <mergeCells count="5">
    <mergeCell ref="A1:L1"/>
    <mergeCell ref="A2:L2"/>
    <mergeCell ref="A3:L3"/>
    <mergeCell ref="A4:L4"/>
    <mergeCell ref="A5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M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9" min="7" style="0" width="8"/>
    <col collapsed="false" customWidth="true" hidden="false" outlineLevel="0" max="11" min="10" style="0" width="10"/>
    <col collapsed="false" customWidth="true" hidden="false" outlineLevel="0" max="12" min="12" style="0" width="8"/>
    <col collapsed="false" customWidth="true" hidden="false" outlineLevel="0" max="13" min="13" style="0" width="1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1.75" hidden="false" customHeight="true" outlineLevel="0" collapsed="false">
      <c r="A3" s="3" t="s">
        <v>63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8" hidden="false" customHeight="true" outlineLevel="0" collapsed="false">
      <c r="A4" s="14" t="s">
        <v>64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customFormat="false" ht="39.75" hidden="false" customHeight="true" outlineLevel="0" collapsed="false">
      <c r="A5" s="4" t="s">
        <v>4</v>
      </c>
      <c r="B5" s="4" t="s">
        <v>24</v>
      </c>
      <c r="C5" s="4" t="s">
        <v>65</v>
      </c>
      <c r="D5" s="4" t="s">
        <v>66</v>
      </c>
      <c r="E5" s="4" t="s">
        <v>67</v>
      </c>
      <c r="F5" s="4" t="s">
        <v>68</v>
      </c>
      <c r="G5" s="4" t="s">
        <v>69</v>
      </c>
      <c r="H5" s="4" t="s">
        <v>70</v>
      </c>
      <c r="I5" s="4" t="s">
        <v>71</v>
      </c>
      <c r="J5" s="4" t="s">
        <v>72</v>
      </c>
      <c r="K5" s="4" t="s">
        <v>73</v>
      </c>
      <c r="L5" s="4" t="s">
        <v>74</v>
      </c>
      <c r="M5" s="4" t="s">
        <v>18</v>
      </c>
    </row>
    <row r="6" customFormat="false" ht="21.75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customFormat="false" ht="21.75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customFormat="false" ht="21.75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customFormat="false" ht="21.7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customFormat="false" ht="21.75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customFormat="false" ht="21.7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customFormat="false" ht="21.75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customFormat="false" ht="21.7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customFormat="false" ht="21.75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customFormat="false" ht="21.7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customFormat="false" ht="21.75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customFormat="false" ht="21.7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customFormat="false" ht="21.75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customFormat="false" ht="21.7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customFormat="false" ht="21.7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customFormat="false" ht="21.7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customFormat="false" ht="21.7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customFormat="false" ht="21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customFormat="false" ht="21.7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customFormat="false" ht="21.7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customFormat="false" ht="21.7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customFormat="false" ht="21.7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customFormat="false" ht="21.7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customFormat="false" ht="21.7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customFormat="false" ht="21.7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customFormat="false" ht="21.7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customFormat="false" ht="21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customFormat="false" ht="21.7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customFormat="false" ht="21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customFormat="false" ht="21.7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customFormat="false" ht="21.7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customFormat="false" ht="21.7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customFormat="false" ht="21.7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 customFormat="false" ht="21.7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customFormat="false" ht="21.7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customFormat="false" ht="21.7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customFormat="false" ht="21.7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customFormat="false" ht="21.7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customFormat="false" ht="21.7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customFormat="false" ht="21.7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customFormat="false" ht="21.7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customFormat="false" ht="21.7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customFormat="false" ht="21.7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customFormat="false" ht="21.7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customFormat="false" ht="21.7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customFormat="false" ht="21.7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customFormat="false" ht="21.7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customFormat="false" ht="21.7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customFormat="false" ht="21.7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customFormat="false" ht="21.7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customFormat="false" ht="21.7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customFormat="false" ht="21.7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customFormat="false" ht="21.7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customFormat="false" ht="21.7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1" customFormat="false" ht="19.5" hidden="false" customHeight="true" outlineLevel="0" collapsed="false">
      <c r="A61" s="15" t="s">
        <v>75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</row>
    <row r="62" customFormat="false" ht="21.75" hidden="false" customHeight="true" outlineLevel="0" collapsed="false">
      <c r="A62" s="16" t="s">
        <v>76</v>
      </c>
      <c r="B62" s="8"/>
    </row>
    <row r="63" customFormat="false" ht="21.75" hidden="false" customHeight="true" outlineLevel="0" collapsed="false">
      <c r="A63" s="16" t="s">
        <v>77</v>
      </c>
      <c r="B63" s="8" t="n">
        <f aca="false">SUMIF(A6:A59,B62,H6:H59)</f>
        <v>0</v>
      </c>
    </row>
    <row r="64" customFormat="false" ht="21.75" hidden="false" customHeight="true" outlineLevel="0" collapsed="false">
      <c r="A64" s="16" t="s">
        <v>78</v>
      </c>
      <c r="B64" s="8" t="n">
        <f aca="false">SUMIF(A6:A59,B62,I6:I59)</f>
        <v>0</v>
      </c>
    </row>
    <row r="65" customFormat="false" ht="21.75" hidden="false" customHeight="true" outlineLevel="0" collapsed="false">
      <c r="A65" s="16" t="s">
        <v>79</v>
      </c>
      <c r="B65" s="8" t="n">
        <f aca="false">SUMIF(A6:A59,B62,J6:J59)</f>
        <v>0</v>
      </c>
    </row>
    <row r="66" customFormat="false" ht="21.75" hidden="false" customHeight="true" outlineLevel="0" collapsed="false">
      <c r="A66" s="16" t="s">
        <v>80</v>
      </c>
      <c r="B66" s="8" t="n">
        <f aca="false">SUMIF(A6:A59,B62,K6:K59)</f>
        <v>0</v>
      </c>
    </row>
    <row r="67" customFormat="false" ht="21.75" hidden="false" customHeight="true" outlineLevel="0" collapsed="false">
      <c r="A67" s="16" t="s">
        <v>81</v>
      </c>
      <c r="B67" s="8" t="str">
        <f aca="false">IF(B63="","-",IF(B63&gt;= 20,"✓達標","✗未達20積分"))</f>
        <v>✗未達20積分</v>
      </c>
    </row>
  </sheetData>
  <mergeCells count="5">
    <mergeCell ref="A1:L1"/>
    <mergeCell ref="A2:L2"/>
    <mergeCell ref="A3:L3"/>
    <mergeCell ref="A4:L4"/>
    <mergeCell ref="A61:L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2026-06-13T09:44:15Z</dcterms:created>
  <dc:creator>openpyxl</dc:creator>
  <dc:description/>
  <dc:language>en-US</dc:language>
  <cp:lastModifiedBy/>
  <dcterms:modified xsi:type="dcterms:W3CDTF">2026-06-13T09:44:16Z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